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5e6dd72bd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e" sheetId="1" r:id="Re94fa3da3a8247ad"/>
    <x:sheet xmlns:r="http://schemas.openxmlformats.org/officeDocument/2006/relationships" name="Results" sheetId="2" r:id="R4689a18d04734fc9"/>
    <x:sheet xmlns:r="http://schemas.openxmlformats.org/officeDocument/2006/relationships" name="Attempts" sheetId="3" r:id="R862f40106d24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.0"/>
  </x:numFmts>
  <x:fonts count="4">
    <x:font>
      <x:sz val="11"/>
      <x:name val="Carlito"/>
    </x:font>
    <x:font>
      <x:sz val="11"/>
      <x:color rgb="FF18333A"/>
      <x:name val="Arial"/>
    </x:font>
    <x:font>
      <x:b/>
      <x:sz val="16"/>
      <x:color rgb="FF18333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0C2"/>
      </x:patternFill>
    </x:fill>
    <x:fill>
      <x:patternFill patternType="solid">
        <x:fgColor rgb="FF18333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8B2525"/>
      </x:font>
      <x:fill>
        <x:patternFill patternType="solid">
          <x:bgColor rgb="FFFFE2DA"/>
        </x:patternFill>
      </x:fill>
    </x:dxf>
    <x:dxf>
      <x:font>
        <x:b/>
        <x:color rgb="FF8B2525"/>
      </x:font>
      <x:fill>
        <x:patternFill patternType="solid">
          <x:bgColor rgb="FFFFE2DA"/>
        </x:patternFill>
      </x:fill>
    </x:dxf>
    <x:dxf>
      <x:font>
        <x:b/>
        <x:color rgb="FF8B2525"/>
      </x:font>
      <x:fill>
        <x:patternFill patternType="solid">
          <x:bgColor rgb="FFFFE2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0a496c60a4945" /><Relationship Type="http://schemas.openxmlformats.org/officeDocument/2006/relationships/theme" Target="/xl/theme/theme1.xml" Id="Rd9c9bd9a7a774e4e" /><Relationship Type="http://schemas.openxmlformats.org/officeDocument/2006/relationships/sharedStrings" Target="/xl/sharedStrings.xml" Id="Rd105d48564074978" /><Relationship Type="http://schemas.openxmlformats.org/officeDocument/2006/relationships/worksheet" Target="/xl/worksheets/sheet1.xml" Id="Re94fa3da3a8247ad" /><Relationship Type="http://schemas.openxmlformats.org/officeDocument/2006/relationships/worksheet" Target="/xl/worksheets/sheet2.xml" Id="R4689a18d04734fc9" /><Relationship Type="http://schemas.openxmlformats.org/officeDocument/2006/relationships/worksheet" Target="/xl/worksheets/sheet3.xml" Id="R862f40106d244d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17" hidden="0" customWidth="1"/>
    <x:col min="5" max="5" width="11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" customHeight="1">
      <x:c r="A2" s="2" t="str">
        <x:v>AI workflow experiment</x:v>
      </x:c>
      <x:c r="B2" s="1"/>
      <x:c r="C2" s="1"/>
      <x:c r="D2" s="1"/>
      <x:c r="E2" s="1" t="str">
        <x:v>Ahmadreza Samadi</x:v>
      </x:c>
      <x:c r="F2" s="1"/>
      <x:c r="G2" s="1"/>
      <x:c r="H2" s="1"/>
      <x:c r="I2" s="1"/>
      <x:c r="J2" s="1"/>
      <x:c r="K2" s="1"/>
    </x:row>
    <x:row r="3" ht="25" customHeight="1">
      <x:c r="A3" s="1" t="str">
        <x:v>Fictional worked example. Replace amber inputs.</x:v>
      </x:c>
      <x:c r="B3" s="1"/>
      <x:c r="C3" s="1"/>
      <x:c r="D3" s="1"/>
      <x:c r="E3" s="1" t="str">
        <x:v>https://a-samadi.com/about.html</x:v>
      </x:c>
      <x:c r="F3" s="1"/>
      <x:c r="G3" s="1"/>
      <x:c r="H3" s="1"/>
      <x:c r="I3" s="1"/>
      <x:c r="J3" s="1"/>
      <x:c r="K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" t="str">
        <x:v>Task</x:v>
      </x:c>
      <x:c r="B5" s="3" t="str">
        <x:v>Fictional record review</x:v>
      </x:c>
      <x:c r="C5" s="1"/>
      <x:c r="D5" s="1"/>
      <x:c r="E5" s="1" t="str">
        <x:v>1. Define the same task, batch, cutoff and acceptance rule before testing both workflows.</x:v>
      </x:c>
      <x:c r="F5" s="1"/>
      <x:c r="G5" s="1"/>
      <x:c r="H5" s="1"/>
      <x:c r="I5" s="1"/>
      <x:c r="J5" s="1"/>
      <x:c r="K5" s="1"/>
    </x:row>
    <x:row r="6" ht="25" customHeight="1">
      <x:c r="A6" s="1" t="str">
        <x:v>Acceptance rule</x:v>
      </x:c>
      <x:c r="B6" s="3" t="str">
        <x:v>Identity and dated evidence checked</x:v>
      </x:c>
      <x:c r="C6" s="1"/>
      <x:c r="D6" s="1"/>
      <x:c r="E6" s="1" t="str">
        <x:v>2. Results has one row per intended deliverable, with the final outcome of each workflow.</x:v>
      </x:c>
      <x:c r="F6" s="1"/>
      <x:c r="G6" s="1"/>
      <x:c r="H6" s="1"/>
      <x:c r="I6" s="1"/>
      <x:c r="J6" s="1"/>
      <x:c r="K6" s="1"/>
    </x:row>
    <x:row r="7" ht="25" customHeight="1">
      <x:c r="A7" s="1" t="str">
        <x:v>Batch / population</x:v>
      </x:c>
      <x:c r="B7" s="3" t="str">
        <x:v>The same three fictional records</x:v>
      </x:c>
      <x:c r="C7" s="1"/>
      <x:c r="D7" s="1"/>
      <x:c r="E7" s="1" t="str">
        <x:v>3. Attempts records every retry, error and failed attempt. Enter known zeros explicitly.</x:v>
      </x:c>
      <x:c r="F7" s="1"/>
      <x:c r="G7" s="1"/>
      <x:c r="H7" s="1"/>
      <x:c r="I7" s="1"/>
      <x:c r="J7" s="1"/>
      <x:c r="K7" s="1"/>
    </x:row>
    <x:row r="8" ht="25" customHeight="1">
      <x:c r="A8" s="1" t="str">
        <x:v>Period / cutoff</x:v>
      </x:c>
      <x:c r="B8" s="3" t="str">
        <x:v>Fictional completed experiment</x:v>
      </x:c>
      <x:c r="C8" s="1"/>
      <x:c r="D8" s="1"/>
      <x:c r="E8" s="1" t="str">
        <x:v>4. Labor minutes include drafting, review, corrections and handoffs. Include waiting in elapsed time.</x:v>
      </x:c>
      <x:c r="F8" s="1"/>
      <x:c r="G8" s="1"/>
      <x:c r="H8" s="1"/>
      <x:c r="I8" s="1"/>
      <x:c r="J8" s="1"/>
      <x:c r="K8" s="1"/>
    </x:row>
    <x:row r="9" ht="25" customHeight="1">
      <x:c r="A9" s="1" t="str">
        <x:v>Currency label</x:v>
      </x:c>
      <x:c r="B9" s="3" t="str">
        <x:v>USD</x:v>
      </x:c>
      <x:c r="C9" s="1"/>
      <x:c r="D9" s="1"/>
      <x:c r="E9" s="1" t="str">
        <x:v>5. Use one currency throughout. Rates and costs are fictional inputs, not market prices.</x:v>
      </x:c>
      <x:c r="F9" s="1"/>
      <x:c r="G9" s="1"/>
      <x:c r="H9" s="1"/>
      <x:c r="I9" s="1"/>
      <x:c r="J9" s="1"/>
      <x:c r="K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5" customHeight="1">
      <x:c r="A11" s="11"/>
      <x:c r="B11" s="11" t="str">
        <x:v>Manual</x:v>
      </x:c>
      <x:c r="C11" s="11" t="str">
        <x:v>AI</x:v>
      </x:c>
      <x:c r="D11" s="1"/>
      <x:c r="E11" s="1"/>
      <x:c r="F11" s="1"/>
      <x:c r="G11" s="1"/>
      <x:c r="H11" s="1"/>
      <x:c r="I11" s="1"/>
      <x:c r="J11" s="1"/>
      <x:c r="K11" s="1"/>
    </x:row>
    <x:row r="12" ht="25" customHeight="1">
      <x:c r="A12" s="1" t="str">
        <x:v>Labor rate per hour</x:v>
      </x:c>
      <x:c r="B12" s="3" t="n">
        <x:v>24</x:v>
      </x:c>
      <x:c r="C12" s="3" t="n">
        <x:v>24</x:v>
      </x:c>
      <x:c r="D12" s="1"/>
      <x:c r="E12" s="1" t="str">
        <x:v>Amber cells are editable. White numeric cells contain formulas. Fixed labels Manual and AI select rows.</x:v>
      </x:c>
      <x:c r="F12" s="1"/>
      <x:c r="G12" s="1"/>
      <x:c r="H12" s="1"/>
      <x:c r="I12" s="1"/>
      <x:c r="J12" s="1"/>
      <x:c r="K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5" customHeight="1">
      <x:c r="A14" s="1" t="str">
        <x:v>Input status</x:v>
      </x:c>
      <x:c r="B14" s="1" t="str">
        <x:f>IF(OR(COUNTIFS(Attempts!$K$7:$K$36,"Fix row")&gt;0,COUNTIFS(Results!$G$7:$G$16,"Fix row")&gt;0,NOT(ISNUMBER(B12)),B12&lt;0),"Fix inputs","Ready")</x:f>
        <x:v>Ready</x:v>
      </x:c>
      <x:c r="C14" s="1" t="str">
        <x:f>IF(OR(COUNTIFS(Attempts!$K$7:$K$36,"Fix row")&gt;0,COUNTIFS(Results!$G$7:$G$16,"Fix row")&gt;0,NOT(ISNUMBER(C12)),C12&lt;0),"Fix inputs","Ready")</x:f>
        <x:v>Ready</x:v>
      </x:c>
      <x:c r="D14" s="1"/>
      <x:c r="E14" s="1" t="str">
        <x:v>A row with missing costs, unknown IDs, duplicates or invalid numbers makes totals unavailable.</x:v>
      </x:c>
      <x:c r="F14" s="1"/>
      <x:c r="G14" s="1"/>
      <x:c r="H14" s="1"/>
      <x:c r="I14" s="1"/>
      <x:c r="J14" s="1"/>
      <x:c r="K14" s="1"/>
    </x:row>
    <x:row r="15" ht="25" customHeight="1">
      <x:c r="A15" s="1" t="str">
        <x:v>Intended results</x:v>
      </x:c>
      <x:c r="B15" s="1" t="n">
        <x:f>COUNTA(Results!$A$7:$A$16)</x:f>
        <x:v>3</x:v>
      </x:c>
      <x:c r="C15" s="1" t="n">
        <x:f>COUNTA(Results!$A$7:$A$16)</x:f>
        <x:v>3</x:v>
      </x:c>
      <x:c r="D15" s="1"/>
      <x:c r="E15" s="1"/>
      <x:c r="F15" s="1"/>
      <x:c r="G15" s="1"/>
      <x:c r="H15" s="1"/>
      <x:c r="I15" s="1"/>
      <x:c r="J15" s="1"/>
      <x:c r="K15" s="1"/>
    </x:row>
    <x:row r="16" ht="25" customHeight="1">
      <x:c r="A16" s="1" t="str">
        <x:v>Accepted results</x:v>
      </x:c>
      <x:c r="B16" s="1" t="n">
        <x:f>COUNTIFS(Results!$B$7:$B$16,"accepted")</x:f>
        <x:v>3</x:v>
      </x:c>
      <x:c r="C16" s="1" t="n">
        <x:f>COUNTIFS(Results!$C$7:$C$16,"accepted")</x:f>
        <x:v>2</x:v>
      </x:c>
      <x:c r="D16" s="1"/>
      <x:c r="E16" s="1" t="str">
        <x:v>Accepted is a caller-supplied outcome, not independent proof of quality or correctness.</x:v>
      </x:c>
      <x:c r="F16" s="1"/>
      <x:c r="G16" s="1"/>
      <x:c r="H16" s="1"/>
      <x:c r="I16" s="1"/>
      <x:c r="J16" s="1"/>
      <x:c r="K16" s="1"/>
    </x:row>
    <x:row r="17" ht="25" customHeight="1">
      <x:c r="A17" s="1" t="str">
        <x:v>Pending results</x:v>
      </x:c>
      <x:c r="B17" s="1" t="n">
        <x:f>COUNTIFS(Results!$B$7:$B$16,"pending")</x:f>
        <x:v>0</x:v>
      </x:c>
      <x:c r="C17" s="1" t="n">
        <x:f>COUNTIFS(Results!$C$7:$C$16,"pending")</x:f>
        <x:v>0</x:v>
      </x:c>
      <x:c r="D17" s="1"/>
      <x:c r="E17" s="1"/>
      <x:c r="F17" s="1"/>
      <x:c r="G17" s="1"/>
      <x:c r="H17" s="1"/>
      <x:c r="I17" s="1"/>
      <x:c r="J17" s="1"/>
      <x:c r="K17" s="1"/>
    </x:row>
    <x:row r="18" ht="25" customHeight="1">
      <x:c r="A18" s="1" t="str">
        <x:v>Accepted share of batch</x:v>
      </x:c>
      <x:c r="B18" s="4" t="n">
        <x:f>IF(B15=0,"n.a.",B16/B15)</x:f>
        <x:v>1</x:v>
      </x:c>
      <x:c r="C18" s="4" t="n">
        <x:f>IF(C15=0,"n.a.",C16/C15)</x:f>
        <x:v>0.6666666666666666</x:v>
      </x:c>
      <x:c r="D18" s="1"/>
      <x:c r="E18" s="1" t="str">
        <x:v>Read acceptance and pending counts beside cost. A cheap incomplete workflow is not a winner.</x:v>
      </x:c>
      <x:c r="F18" s="1"/>
      <x:c r="G18" s="1"/>
      <x:c r="H18" s="1"/>
      <x:c r="I18" s="1"/>
      <x:c r="J18" s="1"/>
      <x:c r="K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1" t="str">
        <x:v>Recorded full cost</x:v>
      </x:c>
      <x:c r="B20" s="5" t="n">
        <x:f>IF(B14&lt;&gt;"Ready","n.a.",IF(B15=0,"n.a.",SUMIFS(Attempts!$J$7:$J$36,Attempts!$A$7:$A$36,B$11)))</x:f>
        <x:v>24</x:v>
      </x:c>
      <x:c r="C20" s="5" t="n">
        <x:f>IF(C14&lt;&gt;"Ready","n.a.",IF(C15=0,"n.a.",SUMIFS(Attempts!$J$7:$J$36,Attempts!$A$7:$A$36,C$11)))</x:f>
        <x:v>18.4</x:v>
      </x:c>
      <x:c r="D20" s="1"/>
      <x:c r="E20" s="1" t="str">
        <x:v>Full cost = model + tool + other non-labor cost + labor minutes × hourly rate ÷ 60.</x:v>
      </x:c>
      <x:c r="F20" s="1"/>
      <x:c r="G20" s="1"/>
      <x:c r="H20" s="1"/>
      <x:c r="I20" s="1"/>
      <x:c r="J20" s="1"/>
      <x:c r="K20" s="1"/>
    </x:row>
    <x:row r="21" ht="25" customHeight="1">
      <x:c r="A21" s="1" t="str">
        <x:v>Cost per accepted result</x:v>
      </x:c>
      <x:c r="B21" s="5" t="n">
        <x:f>IF(OR(B14&lt;&gt;"Ready",B16=0),"n.a.",B20/B16)</x:f>
        <x:v>8</x:v>
      </x:c>
      <x:c r="C21" s="5" t="n">
        <x:f>IF(OR(C14&lt;&gt;"Ready",C16=0),"n.a.",C20/C16)</x:f>
        <x:v>9.2</x:v>
      </x:c>
      <x:c r="D21" s="1"/>
      <x:c r="E21" s="1" t="str">
        <x:v>All recorded attempts count in spend. Zero accepted results means undefined unit cost (n.a.).</x:v>
      </x:c>
      <x:c r="F21" s="1"/>
      <x:c r="G21" s="1"/>
      <x:c r="H21" s="1"/>
      <x:c r="I21" s="1"/>
      <x:c r="J21" s="1"/>
      <x:c r="K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5" customHeight="1">
      <x:c r="A23" s="1" t="str">
        <x:v>Labor minutes (all attempts)</x:v>
      </x:c>
      <x:c r="B23" s="6" t="n">
        <x:f>IF(B14&lt;&gt;"Ready","n.a.",IF(B15=0,"n.a.",SUMIFS(Attempts!$G$7:$G$36,Attempts!$A$7:$A$36,B$11)))</x:f>
        <x:v>60</x:v>
      </x:c>
      <x:c r="C23" s="6" t="n">
        <x:f>IF(C14&lt;&gt;"Ready","n.a.",IF(C15=0,"n.a.",SUMIFS(Attempts!$G$7:$G$36,Attempts!$A$7:$A$36,C$11)))</x:f>
        <x:v>45</x:v>
      </x:c>
      <x:c r="D23" s="1"/>
      <x:c r="E23" s="1" t="str">
        <x:v>Labor time is effort. Sum of per-result elapsed times is not calendar time for a parallel batch.</x:v>
      </x:c>
      <x:c r="F23" s="1"/>
      <x:c r="G23" s="1"/>
      <x:c r="H23" s="1"/>
      <x:c r="I23" s="1"/>
      <x:c r="J23" s="1"/>
      <x:c r="K23" s="1"/>
    </x:row>
    <x:row r="24" ht="25" customHeight="1">
      <x:c r="A24" s="1" t="str">
        <x:v>Sum of result elapsed minutes</x:v>
      </x:c>
      <x:c r="B24" s="6" t="n">
        <x:f>IF(OR(B14&lt;&gt;"Ready",B17&gt;0,B15=0),"n.a.",SUM(Results!$D$7:$D$16))</x:f>
        <x:v>60</x:v>
      </x:c>
      <x:c r="C24" s="6" t="n">
        <x:f>IF(OR(C14&lt;&gt;"Ready",C17&gt;0,C15=0),"n.a.",SUM(Results!$E$7:$E$16))</x:f>
        <x:v>65</x:v>
      </x:c>
      <x:c r="D24" s="1"/>
      <x:c r="E24" s="1" t="str">
        <x:v>Elapsed time runs from starting a result to its final disposition. Pending time is unknown.</x:v>
      </x:c>
      <x:c r="F24" s="1"/>
      <x:c r="G24" s="1"/>
      <x:c r="H24" s="1"/>
      <x:c r="I24" s="1"/>
      <x:c r="J24" s="1"/>
      <x:c r="K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5" customHeight="1">
      <x:c r="A26" s="1" t="str">
        <x:v>Comparison readiness</x:v>
      </x:c>
      <x:c r="B26" s="1" t="str">
        <x:f>IF(COUNTBLANK(B5:B9)&gt;0,"Complete plan",IF(OR(B14&lt;&gt;"Ready",C14&lt;&gt;"Ready"),"Fix inputs",IF(B15=0,"Add results",IF(OR(B17&gt;0,C17&gt;0),"Resolve pending","Recorded batch complete"))))</x:f>
        <x:v>Recorded batch complete</x:v>
      </x:c>
      <x:c r="C26" s="1"/>
      <x:c r="D26" s="1"/>
      <x:c r="E26" s="1" t="str">
        <x:v>Readiness checks recorded inputs only. It does not certify a fair test, causality or product usefulness.</x:v>
      </x:c>
      <x:c r="F26" s="1"/>
      <x:c r="G26" s="1"/>
      <x:c r="H26" s="1"/>
      <x:c r="I26" s="1"/>
      <x:c r="J26" s="1"/>
      <x:c r="K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5" customHeight="1">
      <x:c r="A29" s="1"/>
      <x:c r="B29" s="1"/>
      <x:c r="C29" s="1"/>
      <x:c r="D29" s="1"/>
      <x:c r="E29" s="1" t="str">
        <x:v>Template capacity: 10 paired results and 30 attempts. Replace fictional rows; do not enter below limits.</x:v>
      </x:c>
      <x:c r="F29" s="1"/>
      <x:c r="G29" s="1"/>
      <x:c r="H29" s="1"/>
      <x:c r="I29" s="1"/>
      <x:c r="J29" s="1"/>
      <x:c r="K29" s="1"/>
    </x:row>
    <x:row r="30" ht="25" customHeight="1">
      <x:c r="A30" s="1"/>
      <x:c r="B30" s="1"/>
      <x:c r="C30" s="1"/>
      <x:c r="D30" s="1"/>
      <x:c r="E30" s="1" t="str">
        <x:v>Use a local copy. Do not enter private customer data in a publicly shared workbook.</x:v>
      </x:c>
      <x:c r="F30" s="1"/>
      <x:c r="G30" s="1"/>
      <x:c r="H30" s="1"/>
      <x:c r="I30" s="1"/>
      <x:c r="J30" s="1"/>
      <x:c r="K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5" customHeight="1">
      <x:c r="A32" s="1"/>
      <x:c r="B32" s="1"/>
      <x:c r="C32" s="1"/>
      <x:c r="D32" s="1"/>
      <x:c r="E32" s="1" t="str">
        <x:v>Method: https://a-samadi.com/writing/ai-cost-per-verified-result.html</x:v>
      </x:c>
      <x:c r="F32" s="1"/>
      <x:c r="G32" s="1"/>
      <x:c r="H32" s="1"/>
      <x:c r="I32" s="1"/>
      <x:c r="J32" s="1"/>
      <x:c r="K32" s="1"/>
    </x:row>
    <x:row r="33" ht="25" customHeight="1">
      <x:c r="A33" s="1"/>
      <x:c r="B33" s="1"/>
      <x:c r="C33" s="1"/>
      <x:c r="D33" s="1"/>
      <x:c r="E33" s="1" t="str">
        <x:v>Companion CLI: https://github.com/ahmadreza-smdi/ai-workflow-cost</x:v>
      </x:c>
      <x:c r="F33" s="1"/>
      <x:c r="G33" s="1"/>
      <x:c r="H33" s="1"/>
      <x:c r="I33" s="1"/>
      <x:c r="J33" s="1"/>
      <x:c r="K33" s="1"/>
    </x:row>
    <x:row r="34" ht="25" customHeight="1">
      <x:c r="A34" s="1"/>
      <x:c r="B34" s="1"/>
      <x:c r="C34" s="1"/>
      <x:c r="D34" s="1"/>
      <x:c r="E34" s="1" t="str">
        <x:v>Original workbook and fictional data: MIT. Developed with AI assistance. Version 1.0, 17 October 2026.</x:v>
      </x:c>
      <x:c r="F34" s="1"/>
      <x:c r="G34" s="1"/>
      <x:c r="H34" s="1"/>
      <x:c r="I34" s="1"/>
      <x:c r="J34" s="1"/>
      <x:c r="K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conditionalFormatting sqref="B14:C14">
    <x:cfRule type="containsText" dxfId="0" priority="1" operator="containsText" text="Fix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" customHeight="1">
      <x:c r="A2" s="2" t="str">
        <x:v>Paired results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5" customHeight="1">
      <x:c r="A3" s="1" t="str">
        <x:v>Fictional data. One row per result, same batch in both workflows. Maximum 10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1" t="str">
        <x:v>Use accepted, rejected, error or pending. Elapsed minutes include waiting; leave pending elapsed blank.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8" customHeight="1">
      <x:c r="A6" s="11" t="str">
        <x:v>Result ID</x:v>
      </x:c>
      <x:c r="B6" s="11" t="str">
        <x:v>Manual outcome</x:v>
      </x:c>
      <x:c r="C6" s="11" t="str">
        <x:v>AI outcome</x:v>
      </x:c>
      <x:c r="D6" s="14" t="str">
        <x:v>Manual elapsed min</x:v>
      </x:c>
      <x:c r="E6" s="14" t="str">
        <x:v>AI elapsed min</x:v>
      </x:c>
      <x:c r="F6" s="11" t="str">
        <x:v>Evidence / reviewer note</x:v>
      </x:c>
      <x:c r="G6" s="11" t="str">
        <x:v>Input status</x:v>
      </x:c>
      <x:c r="H6" s="1"/>
      <x:c r="I6" s="1"/>
      <x:c r="J6" s="1"/>
      <x:c r="K6" s="1"/>
    </x:row>
    <x:row r="7" ht="25" customHeight="1">
      <x:c r="A7" s="3" t="str">
        <x:v>record-1</x:v>
      </x:c>
      <x:c r="B7" s="3" t="str">
        <x:v>accepted</x:v>
      </x:c>
      <x:c r="C7" s="3" t="str">
        <x:v>accepted</x:v>
      </x:c>
      <x:c r="D7" s="3" t="n">
        <x:v>20</x:v>
      </x:c>
      <x:c r="E7" s="3" t="n">
        <x:v>25</x:v>
      </x:c>
      <x:c r="F7" s="3" t="str">
        <x:v>Fictional evidence checked</x:v>
      </x:c>
      <x:c r="G7" s="1" t="str">
        <x:f>IF(COUNTA(A7:F7)=0,"",IF(OR(A7="",COUNTIFS($A$7:$A$16,A7)&lt;&gt;1,AND(B7&lt;&gt;"accepted",B7&lt;&gt;"rejected",B7&lt;&gt;"error",B7&lt;&gt;"pending"),AND(C7&lt;&gt;"accepted",C7&lt;&gt;"rejected",C7&lt;&gt;"error",C7&lt;&gt;"pending"),AND(B7&lt;&gt;"pending",OR(NOT(ISNUMBER(D7)),D7&lt;0)),AND(C7&lt;&gt;"pending",OR(NOT(ISNUMBER(E7)),E7&lt;0)),AND(B7="pending",D7&lt;&gt;""),AND(C7="pending",E7&lt;&gt;""),COUNTIFS(Attempts!$A$7:$A$36,"Manual",Attempts!$B$7:$B$36,A7)=0,COUNTIFS(Attempts!$A$7:$A$36,"AI",Attempts!$B$7:$B$36,A7)=0),"Fix row","Ready"))</x:f>
        <x:v>Ready</x:v>
      </x:c>
      <x:c r="H7" s="1"/>
      <x:c r="I7" s="1"/>
      <x:c r="J7" s="1"/>
      <x:c r="K7" s="1"/>
    </x:row>
    <x:row r="8" ht="25" customHeight="1">
      <x:c r="A8" s="3" t="str">
        <x:v>record-2</x:v>
      </x:c>
      <x:c r="B8" s="3" t="str">
        <x:v>accepted</x:v>
      </x:c>
      <x:c r="C8" s="3" t="str">
        <x:v>accepted</x:v>
      </x:c>
      <x:c r="D8" s="3" t="n">
        <x:v>20</x:v>
      </x:c>
      <x:c r="E8" s="3" t="n">
        <x:v>25</x:v>
      </x:c>
      <x:c r="F8" s="3" t="str">
        <x:v>Fictional evidence checked</x:v>
      </x:c>
      <x:c r="G8" s="1" t="str">
        <x:f>IF(COUNTA(A8:F8)=0,"",IF(OR(A8="",COUNTIFS($A$7:$A$16,A8)&lt;&gt;1,AND(B8&lt;&gt;"accepted",B8&lt;&gt;"rejected",B8&lt;&gt;"error",B8&lt;&gt;"pending"),AND(C8&lt;&gt;"accepted",C8&lt;&gt;"rejected",C8&lt;&gt;"error",C8&lt;&gt;"pending"),AND(B8&lt;&gt;"pending",OR(NOT(ISNUMBER(D8)),D8&lt;0)),AND(C8&lt;&gt;"pending",OR(NOT(ISNUMBER(E8)),E8&lt;0)),AND(B8="pending",D8&lt;&gt;""),AND(C8="pending",E8&lt;&gt;""),COUNTIFS(Attempts!$A$7:$A$36,"Manual",Attempts!$B$7:$B$36,A8)=0,COUNTIFS(Attempts!$A$7:$A$36,"AI",Attempts!$B$7:$B$36,A8)=0),"Fix row","Ready"))</x:f>
        <x:v>Ready</x:v>
      </x:c>
      <x:c r="H8" s="1"/>
      <x:c r="I8" s="1"/>
      <x:c r="J8" s="1"/>
      <x:c r="K8" s="1"/>
    </x:row>
    <x:row r="9" ht="25" customHeight="1">
      <x:c r="A9" s="3" t="str">
        <x:v>record-3</x:v>
      </x:c>
      <x:c r="B9" s="3" t="str">
        <x:v>accepted</x:v>
      </x:c>
      <x:c r="C9" s="3" t="str">
        <x:v>rejected</x:v>
      </x:c>
      <x:c r="D9" s="3" t="n">
        <x:v>20</x:v>
      </x:c>
      <x:c r="E9" s="3" t="n">
        <x:v>15</x:v>
      </x:c>
      <x:c r="F9" s="3" t="str">
        <x:v>Fictional AI result rejected</x:v>
      </x:c>
      <x:c r="G9" s="1" t="str">
        <x:f>IF(COUNTA(A9:F9)=0,"",IF(OR(A9="",COUNTIFS($A$7:$A$16,A9)&lt;&gt;1,AND(B9&lt;&gt;"accepted",B9&lt;&gt;"rejected",B9&lt;&gt;"error",B9&lt;&gt;"pending"),AND(C9&lt;&gt;"accepted",C9&lt;&gt;"rejected",C9&lt;&gt;"error",C9&lt;&gt;"pending"),AND(B9&lt;&gt;"pending",OR(NOT(ISNUMBER(D9)),D9&lt;0)),AND(C9&lt;&gt;"pending",OR(NOT(ISNUMBER(E9)),E9&lt;0)),AND(B9="pending",D9&lt;&gt;""),AND(C9="pending",E9&lt;&gt;""),COUNTIFS(Attempts!$A$7:$A$36,"Manual",Attempts!$B$7:$B$36,A9)=0,COUNTIFS(Attempts!$A$7:$A$36,"AI",Attempts!$B$7:$B$36,A9)=0),"Fix row","Ready"))</x:f>
        <x:v>Ready</x:v>
      </x:c>
      <x:c r="H9" s="1"/>
      <x:c r="I9" s="1"/>
      <x:c r="J9" s="1"/>
      <x:c r="K9" s="1"/>
    </x:row>
    <x:row r="10" ht="25" customHeight="1">
      <x:c r="A10" s="3"/>
      <x:c r="B10" s="3"/>
      <x:c r="C10" s="3"/>
      <x:c r="D10" s="3"/>
      <x:c r="E10" s="3"/>
      <x:c r="F10" s="3"/>
      <x:c r="G10" s="1" t="str">
        <x:f>IF(COUNTA(A10:F10)=0,"",IF(OR(A10="",COUNTIFS($A$7:$A$16,A10)&lt;&gt;1,AND(B10&lt;&gt;"accepted",B10&lt;&gt;"rejected",B10&lt;&gt;"error",B10&lt;&gt;"pending"),AND(C10&lt;&gt;"accepted",C10&lt;&gt;"rejected",C10&lt;&gt;"error",C10&lt;&gt;"pending"),AND(B10&lt;&gt;"pending",OR(NOT(ISNUMBER(D10)),D10&lt;0)),AND(C10&lt;&gt;"pending",OR(NOT(ISNUMBER(E10)),E10&lt;0)),AND(B10="pending",D10&lt;&gt;""),AND(C10="pending",E10&lt;&gt;""),COUNTIFS(Attempts!$A$7:$A$36,"Manual",Attempts!$B$7:$B$36,A10)=0,COUNTIFS(Attempts!$A$7:$A$36,"AI",Attempts!$B$7:$B$36,A10)=0),"Fix row","Ready"))</x:f>
      </x:c>
      <x:c r="H10" s="1"/>
      <x:c r="I10" s="1"/>
      <x:c r="J10" s="1"/>
      <x:c r="K10" s="1"/>
    </x:row>
    <x:row r="11" ht="25" customHeight="1">
      <x:c r="A11" s="3"/>
      <x:c r="B11" s="3"/>
      <x:c r="C11" s="3"/>
      <x:c r="D11" s="3"/>
      <x:c r="E11" s="3"/>
      <x:c r="F11" s="3"/>
      <x:c r="G11" s="1" t="str">
        <x:f>IF(COUNTA(A11:F11)=0,"",IF(OR(A11="",COUNTIFS($A$7:$A$16,A11)&lt;&gt;1,AND(B11&lt;&gt;"accepted",B11&lt;&gt;"rejected",B11&lt;&gt;"error",B11&lt;&gt;"pending"),AND(C11&lt;&gt;"accepted",C11&lt;&gt;"rejected",C11&lt;&gt;"error",C11&lt;&gt;"pending"),AND(B11&lt;&gt;"pending",OR(NOT(ISNUMBER(D11)),D11&lt;0)),AND(C11&lt;&gt;"pending",OR(NOT(ISNUMBER(E11)),E11&lt;0)),AND(B11="pending",D11&lt;&gt;""),AND(C11="pending",E11&lt;&gt;""),COUNTIFS(Attempts!$A$7:$A$36,"Manual",Attempts!$B$7:$B$36,A11)=0,COUNTIFS(Attempts!$A$7:$A$36,"AI",Attempts!$B$7:$B$36,A11)=0),"Fix row","Ready"))</x:f>
      </x:c>
      <x:c r="H11" s="1"/>
      <x:c r="I11" s="1"/>
      <x:c r="J11" s="1"/>
      <x:c r="K11" s="1"/>
    </x:row>
    <x:row r="12" ht="25" customHeight="1">
      <x:c r="A12" s="3"/>
      <x:c r="B12" s="3"/>
      <x:c r="C12" s="3"/>
      <x:c r="D12" s="3"/>
      <x:c r="E12" s="3"/>
      <x:c r="F12" s="3"/>
      <x:c r="G12" s="1" t="str">
        <x:f>IF(COUNTA(A12:F12)=0,"",IF(OR(A12="",COUNTIFS($A$7:$A$16,A12)&lt;&gt;1,AND(B12&lt;&gt;"accepted",B12&lt;&gt;"rejected",B12&lt;&gt;"error",B12&lt;&gt;"pending"),AND(C12&lt;&gt;"accepted",C12&lt;&gt;"rejected",C12&lt;&gt;"error",C12&lt;&gt;"pending"),AND(B12&lt;&gt;"pending",OR(NOT(ISNUMBER(D12)),D12&lt;0)),AND(C12&lt;&gt;"pending",OR(NOT(ISNUMBER(E12)),E12&lt;0)),AND(B12="pending",D12&lt;&gt;""),AND(C12="pending",E12&lt;&gt;""),COUNTIFS(Attempts!$A$7:$A$36,"Manual",Attempts!$B$7:$B$36,A12)=0,COUNTIFS(Attempts!$A$7:$A$36,"AI",Attempts!$B$7:$B$36,A12)=0),"Fix row","Ready"))</x:f>
      </x:c>
      <x:c r="H12" s="1"/>
      <x:c r="I12" s="1"/>
      <x:c r="J12" s="1"/>
      <x:c r="K12" s="1"/>
    </x:row>
    <x:row r="13" ht="25" customHeight="1">
      <x:c r="A13" s="3"/>
      <x:c r="B13" s="3"/>
      <x:c r="C13" s="3"/>
      <x:c r="D13" s="3"/>
      <x:c r="E13" s="3"/>
      <x:c r="F13" s="3"/>
      <x:c r="G13" s="1" t="str">
        <x:f>IF(COUNTA(A13:F13)=0,"",IF(OR(A13="",COUNTIFS($A$7:$A$16,A13)&lt;&gt;1,AND(B13&lt;&gt;"accepted",B13&lt;&gt;"rejected",B13&lt;&gt;"error",B13&lt;&gt;"pending"),AND(C13&lt;&gt;"accepted",C13&lt;&gt;"rejected",C13&lt;&gt;"error",C13&lt;&gt;"pending"),AND(B13&lt;&gt;"pending",OR(NOT(ISNUMBER(D13)),D13&lt;0)),AND(C13&lt;&gt;"pending",OR(NOT(ISNUMBER(E13)),E13&lt;0)),AND(B13="pending",D13&lt;&gt;""),AND(C13="pending",E13&lt;&gt;""),COUNTIFS(Attempts!$A$7:$A$36,"Manual",Attempts!$B$7:$B$36,A13)=0,COUNTIFS(Attempts!$A$7:$A$36,"AI",Attempts!$B$7:$B$36,A13)=0),"Fix row","Ready"))</x:f>
      </x:c>
      <x:c r="H13" s="1"/>
      <x:c r="I13" s="1"/>
      <x:c r="J13" s="1"/>
      <x:c r="K13" s="1"/>
    </x:row>
    <x:row r="14" ht="25" customHeight="1">
      <x:c r="A14" s="3"/>
      <x:c r="B14" s="3"/>
      <x:c r="C14" s="3"/>
      <x:c r="D14" s="3"/>
      <x:c r="E14" s="3"/>
      <x:c r="F14" s="3"/>
      <x:c r="G14" s="1" t="str">
        <x:f>IF(COUNTA(A14:F14)=0,"",IF(OR(A14="",COUNTIFS($A$7:$A$16,A14)&lt;&gt;1,AND(B14&lt;&gt;"accepted",B14&lt;&gt;"rejected",B14&lt;&gt;"error",B14&lt;&gt;"pending"),AND(C14&lt;&gt;"accepted",C14&lt;&gt;"rejected",C14&lt;&gt;"error",C14&lt;&gt;"pending"),AND(B14&lt;&gt;"pending",OR(NOT(ISNUMBER(D14)),D14&lt;0)),AND(C14&lt;&gt;"pending",OR(NOT(ISNUMBER(E14)),E14&lt;0)),AND(B14="pending",D14&lt;&gt;""),AND(C14="pending",E14&lt;&gt;""),COUNTIFS(Attempts!$A$7:$A$36,"Manual",Attempts!$B$7:$B$36,A14)=0,COUNTIFS(Attempts!$A$7:$A$36,"AI",Attempts!$B$7:$B$36,A14)=0),"Fix row","Ready"))</x:f>
      </x:c>
      <x:c r="H14" s="1"/>
      <x:c r="I14" s="1"/>
      <x:c r="J14" s="1"/>
      <x:c r="K14" s="1"/>
    </x:row>
    <x:row r="15" ht="25" customHeight="1">
      <x:c r="A15" s="3"/>
      <x:c r="B15" s="3"/>
      <x:c r="C15" s="3"/>
      <x:c r="D15" s="3"/>
      <x:c r="E15" s="3"/>
      <x:c r="F15" s="3"/>
      <x:c r="G15" s="1" t="str">
        <x:f>IF(COUNTA(A15:F15)=0,"",IF(OR(A15="",COUNTIFS($A$7:$A$16,A15)&lt;&gt;1,AND(B15&lt;&gt;"accepted",B15&lt;&gt;"rejected",B15&lt;&gt;"error",B15&lt;&gt;"pending"),AND(C15&lt;&gt;"accepted",C15&lt;&gt;"rejected",C15&lt;&gt;"error",C15&lt;&gt;"pending"),AND(B15&lt;&gt;"pending",OR(NOT(ISNUMBER(D15)),D15&lt;0)),AND(C15&lt;&gt;"pending",OR(NOT(ISNUMBER(E15)),E15&lt;0)),AND(B15="pending",D15&lt;&gt;""),AND(C15="pending",E15&lt;&gt;""),COUNTIFS(Attempts!$A$7:$A$36,"Manual",Attempts!$B$7:$B$36,A15)=0,COUNTIFS(Attempts!$A$7:$A$36,"AI",Attempts!$B$7:$B$36,A15)=0),"Fix row","Ready"))</x:f>
      </x:c>
      <x:c r="H15" s="1"/>
      <x:c r="I15" s="1"/>
      <x:c r="J15" s="1"/>
      <x:c r="K15" s="1"/>
    </x:row>
    <x:row r="16" ht="25" customHeight="1">
      <x:c r="A16" s="3"/>
      <x:c r="B16" s="3"/>
      <x:c r="C16" s="3"/>
      <x:c r="D16" s="3"/>
      <x:c r="E16" s="3"/>
      <x:c r="F16" s="3"/>
      <x:c r="G16" s="1" t="str">
        <x:f>IF(COUNTA(A16:F16)=0,"",IF(OR(A16="",COUNTIFS($A$7:$A$16,A16)&lt;&gt;1,AND(B16&lt;&gt;"accepted",B16&lt;&gt;"rejected",B16&lt;&gt;"error",B16&lt;&gt;"pending"),AND(C16&lt;&gt;"accepted",C16&lt;&gt;"rejected",C16&lt;&gt;"error",C16&lt;&gt;"pending"),AND(B16&lt;&gt;"pending",OR(NOT(ISNUMBER(D16)),D16&lt;0)),AND(C16&lt;&gt;"pending",OR(NOT(ISNUMBER(E16)),E16&lt;0)),AND(B16="pending",D16&lt;&gt;""),AND(C16="pending",E16&lt;&gt;""),COUNTIFS(Attempts!$A$7:$A$36,"Manual",Attempts!$B$7:$B$36,A16)=0,COUNTIFS(Attempts!$A$7:$A$36,"AI",Attempts!$B$7:$B$36,A16)=0),"Fix row","Ready"))</x:f>
      </x:c>
      <x:c r="H16" s="1"/>
      <x:c r="I16" s="1"/>
      <x:c r="J16" s="1"/>
      <x:c r="K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conditionalFormatting sqref="G7:G16">
    <x:cfRule type="containsText" dxfId="1" priority="1" operator="containsText" text="Fix"/>
  </x:conditionalFormatting>
  <x:dataValidations count="1">
    <x:dataValidation type="list" sqref="B7:C16">
      <x:formula1>"accepted,rejected,error,pending"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" customHeight="1">
      <x:c r="A2" s="2" t="str">
        <x:v>Attempt ledger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5" customHeight="1">
      <x:c r="A3" s="1" t="str">
        <x:v>Fictional data. Every retry and failed attempt belongs here. Maximum 30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1" t="str">
        <x:v>Enter zero for a known zero. Other cost excludes labor. Labor cost is calculated once from minutes and rate.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5" customHeight="1">
      <x:c r="A6" s="11" t="str">
        <x:v>Workflow</x:v>
      </x:c>
      <x:c r="B6" s="11" t="str">
        <x:v>Result ID</x:v>
      </x:c>
      <x:c r="C6" s="11" t="str">
        <x:v>Attempt ID</x:v>
      </x:c>
      <x:c r="D6" s="11" t="str">
        <x:v>Model cost</x:v>
      </x:c>
      <x:c r="E6" s="11" t="str">
        <x:v>Tool cost</x:v>
      </x:c>
      <x:c r="F6" s="11" t="str">
        <x:v>Other cost</x:v>
      </x:c>
      <x:c r="G6" s="11" t="str">
        <x:v>Labor min</x:v>
      </x:c>
      <x:c r="H6" s="11" t="str">
        <x:v>Labor rate / hr</x:v>
      </x:c>
      <x:c r="I6" s="11" t="str">
        <x:v>Labor cost</x:v>
      </x:c>
      <x:c r="J6" s="11" t="str">
        <x:v>Full cost</x:v>
      </x:c>
      <x:c r="K6" s="11" t="str">
        <x:v>Input status</x:v>
      </x:c>
    </x:row>
    <x:row r="7" ht="25" customHeight="1">
      <x:c r="A7" s="3" t="str">
        <x:v>Manual</x:v>
      </x:c>
      <x:c r="B7" s="3" t="str">
        <x:v>record-1</x:v>
      </x:c>
      <x:c r="C7" s="3" t="str">
        <x:v>1</x:v>
      </x:c>
      <x:c r="D7" s="8" t="n">
        <x:v>0</x:v>
      </x:c>
      <x:c r="E7" s="8" t="n">
        <x:v>0</x:v>
      </x:c>
      <x:c r="F7" s="8" t="n">
        <x:v>0</x:v>
      </x:c>
      <x:c r="G7" s="3" t="n">
        <x:v>20</x:v>
      </x:c>
      <x:c r="H7" s="5" t="n">
        <x:f>IF(A7="Manual",Compare!$B$12,IF(A7="AI",Compare!$C$12,""))</x:f>
        <x:v>24</x:v>
      </x:c>
      <x:c r="I7" s="5" t="n">
        <x:f>IF(K7&lt;&gt;"Ready","",IF(OR(NOT(ISNUMBER(H7)),H7&lt;0),"",G7*H7/60))</x:f>
        <x:v>8</x:v>
      </x:c>
      <x:c r="J7" s="5" t="n">
        <x:f>IF(K7&lt;&gt;"Ready","",IF(ISNUMBER(I7),SUM(D7:F7)+I7,""))</x:f>
        <x:v>8</x:v>
      </x:c>
      <x:c r="K7" s="1" t="str">
        <x:f>IF(COUNTA(A7:G7)=0,"",IF(OR(AND(A7&lt;&gt;"Manual",A7&lt;&gt;"AI"),B7="",C7="",COUNTIFS(Results!$A$7:$A$16,B7)&lt;&gt;1,COUNTIFS($A$7:$A$36,A7,$B$7:$B$36,B7,$C$7:$C$36,C7)&lt;&gt;1,COUNT(D7:G7)&lt;&gt;4,MIN(D7:G7)&lt;0),"Fix row","Ready"))</x:f>
        <x:v>Ready</x:v>
      </x:c>
    </x:row>
    <x:row r="8" ht="25" customHeight="1">
      <x:c r="A8" s="3" t="str">
        <x:v>Manual</x:v>
      </x:c>
      <x:c r="B8" s="3" t="str">
        <x:v>record-2</x:v>
      </x:c>
      <x:c r="C8" s="3" t="str">
        <x:v>1</x:v>
      </x:c>
      <x:c r="D8" s="8" t="n">
        <x:v>0</x:v>
      </x:c>
      <x:c r="E8" s="8" t="n">
        <x:v>0</x:v>
      </x:c>
      <x:c r="F8" s="8" t="n">
        <x:v>0</x:v>
      </x:c>
      <x:c r="G8" s="3" t="n">
        <x:v>20</x:v>
      </x:c>
      <x:c r="H8" s="5" t="n">
        <x:f>IF(A8="Manual",Compare!$B$12,IF(A8="AI",Compare!$C$12,""))</x:f>
        <x:v>24</x:v>
      </x:c>
      <x:c r="I8" s="5" t="n">
        <x:f>IF(K8&lt;&gt;"Ready","",IF(OR(NOT(ISNUMBER(H8)),H8&lt;0),"",G8*H8/60))</x:f>
        <x:v>8</x:v>
      </x:c>
      <x:c r="J8" s="5" t="n">
        <x:f>IF(K8&lt;&gt;"Ready","",IF(ISNUMBER(I8),SUM(D8:F8)+I8,""))</x:f>
        <x:v>8</x:v>
      </x:c>
      <x:c r="K8" s="1" t="str">
        <x:f>IF(COUNTA(A8:G8)=0,"",IF(OR(AND(A8&lt;&gt;"Manual",A8&lt;&gt;"AI"),B8="",C8="",COUNTIFS(Results!$A$7:$A$16,B8)&lt;&gt;1,COUNTIFS($A$7:$A$36,A8,$B$7:$B$36,B8,$C$7:$C$36,C8)&lt;&gt;1,COUNT(D8:G8)&lt;&gt;4,MIN(D8:G8)&lt;0),"Fix row","Ready"))</x:f>
        <x:v>Ready</x:v>
      </x:c>
    </x:row>
    <x:row r="9" ht="25" customHeight="1">
      <x:c r="A9" s="3" t="str">
        <x:v>Manual</x:v>
      </x:c>
      <x:c r="B9" s="3" t="str">
        <x:v>record-3</x:v>
      </x:c>
      <x:c r="C9" s="3" t="str">
        <x:v>1</x:v>
      </x:c>
      <x:c r="D9" s="8" t="n">
        <x:v>0</x:v>
      </x:c>
      <x:c r="E9" s="8" t="n">
        <x:v>0</x:v>
      </x:c>
      <x:c r="F9" s="8" t="n">
        <x:v>0</x:v>
      </x:c>
      <x:c r="G9" s="3" t="n">
        <x:v>20</x:v>
      </x:c>
      <x:c r="H9" s="5" t="n">
        <x:f>IF(A9="Manual",Compare!$B$12,IF(A9="AI",Compare!$C$12,""))</x:f>
        <x:v>24</x:v>
      </x:c>
      <x:c r="I9" s="5" t="n">
        <x:f>IF(K9&lt;&gt;"Ready","",IF(OR(NOT(ISNUMBER(H9)),H9&lt;0),"",G9*H9/60))</x:f>
        <x:v>8</x:v>
      </x:c>
      <x:c r="J9" s="5" t="n">
        <x:f>IF(K9&lt;&gt;"Ready","",IF(ISNUMBER(I9),SUM(D9:F9)+I9,""))</x:f>
        <x:v>8</x:v>
      </x:c>
      <x:c r="K9" s="1" t="str">
        <x:f>IF(COUNTA(A9:G9)=0,"",IF(OR(AND(A9&lt;&gt;"Manual",A9&lt;&gt;"AI"),B9="",C9="",COUNTIFS(Results!$A$7:$A$16,B9)&lt;&gt;1,COUNTIFS($A$7:$A$36,A9,$B$7:$B$36,B9,$C$7:$C$36,C9)&lt;&gt;1,COUNT(D9:G9)&lt;&gt;4,MIN(D9:G9)&lt;0),"Fix row","Ready"))</x:f>
        <x:v>Ready</x:v>
      </x:c>
    </x:row>
    <x:row r="10" ht="25" customHeight="1">
      <x:c r="A10" s="3" t="str">
        <x:v>AI</x:v>
      </x:c>
      <x:c r="B10" s="3" t="str">
        <x:v>record-1</x:v>
      </x:c>
      <x:c r="C10" s="3" t="str">
        <x:v>1</x:v>
      </x:c>
      <x:c r="D10" s="8" t="n">
        <x:v>0.1</x:v>
      </x:c>
      <x:c r="E10" s="8" t="n">
        <x:v>0</x:v>
      </x:c>
      <x:c r="F10" s="8" t="n">
        <x:v>0</x:v>
      </x:c>
      <x:c r="G10" s="3" t="n">
        <x:v>10</x:v>
      </x:c>
      <x:c r="H10" s="5" t="n">
        <x:f>IF(A10="Manual",Compare!$B$12,IF(A10="AI",Compare!$C$12,""))</x:f>
        <x:v>24</x:v>
      </x:c>
      <x:c r="I10" s="5" t="n">
        <x:f>IF(K10&lt;&gt;"Ready","",IF(OR(NOT(ISNUMBER(H10)),H10&lt;0),"",G10*H10/60))</x:f>
        <x:v>4</x:v>
      </x:c>
      <x:c r="J10" s="5" t="n">
        <x:f>IF(K10&lt;&gt;"Ready","",IF(ISNUMBER(I10),SUM(D10:F10)+I10,""))</x:f>
        <x:v>4.1</x:v>
      </x:c>
      <x:c r="K10" s="1" t="str">
        <x:f>IF(COUNTA(A10:G10)=0,"",IF(OR(AND(A10&lt;&gt;"Manual",A10&lt;&gt;"AI"),B10="",C10="",COUNTIFS(Results!$A$7:$A$16,B10)&lt;&gt;1,COUNTIFS($A$7:$A$36,A10,$B$7:$B$36,B10,$C$7:$C$36,C10)&lt;&gt;1,COUNT(D10:G10)&lt;&gt;4,MIN(D10:G10)&lt;0),"Fix row","Ready"))</x:f>
        <x:v>Ready</x:v>
      </x:c>
    </x:row>
    <x:row r="11" ht="25" customHeight="1">
      <x:c r="A11" s="3" t="str">
        <x:v>AI</x:v>
      </x:c>
      <x:c r="B11" s="3" t="str">
        <x:v>record-1</x:v>
      </x:c>
      <x:c r="C11" s="3" t="str">
        <x:v>2</x:v>
      </x:c>
      <x:c r="D11" s="8" t="n">
        <x:v>0.1</x:v>
      </x:c>
      <x:c r="E11" s="8" t="n">
        <x:v>0</x:v>
      </x:c>
      <x:c r="F11" s="8" t="n">
        <x:v>0</x:v>
      </x:c>
      <x:c r="G11" s="3" t="n">
        <x:v>15</x:v>
      </x:c>
      <x:c r="H11" s="5" t="n">
        <x:f>IF(A11="Manual",Compare!$B$12,IF(A11="AI",Compare!$C$12,""))</x:f>
        <x:v>24</x:v>
      </x:c>
      <x:c r="I11" s="5" t="n">
        <x:f>IF(K11&lt;&gt;"Ready","",IF(OR(NOT(ISNUMBER(H11)),H11&lt;0),"",G11*H11/60))</x:f>
        <x:v>6</x:v>
      </x:c>
      <x:c r="J11" s="5" t="n">
        <x:f>IF(K11&lt;&gt;"Ready","",IF(ISNUMBER(I11),SUM(D11:F11)+I11,""))</x:f>
        <x:v>6.1</x:v>
      </x:c>
      <x:c r="K11" s="1" t="str">
        <x:f>IF(COUNTA(A11:G11)=0,"",IF(OR(AND(A11&lt;&gt;"Manual",A11&lt;&gt;"AI"),B11="",C11="",COUNTIFS(Results!$A$7:$A$16,B11)&lt;&gt;1,COUNTIFS($A$7:$A$36,A11,$B$7:$B$36,B11,$C$7:$C$36,C11)&lt;&gt;1,COUNT(D11:G11)&lt;&gt;4,MIN(D11:G11)&lt;0),"Fix row","Ready"))</x:f>
        <x:v>Ready</x:v>
      </x:c>
    </x:row>
    <x:row r="12" ht="25" customHeight="1">
      <x:c r="A12" s="3" t="str">
        <x:v>AI</x:v>
      </x:c>
      <x:c r="B12" s="3" t="str">
        <x:v>record-2</x:v>
      </x:c>
      <x:c r="C12" s="3" t="str">
        <x:v>1</x:v>
      </x:c>
      <x:c r="D12" s="8" t="n">
        <x:v>0.1</x:v>
      </x:c>
      <x:c r="E12" s="8" t="n">
        <x:v>0</x:v>
      </x:c>
      <x:c r="F12" s="8" t="n">
        <x:v>0</x:v>
      </x:c>
      <x:c r="G12" s="3" t="n">
        <x:v>15</x:v>
      </x:c>
      <x:c r="H12" s="5" t="n">
        <x:f>IF(A12="Manual",Compare!$B$12,IF(A12="AI",Compare!$C$12,""))</x:f>
        <x:v>24</x:v>
      </x:c>
      <x:c r="I12" s="5" t="n">
        <x:f>IF(K12&lt;&gt;"Ready","",IF(OR(NOT(ISNUMBER(H12)),H12&lt;0),"",G12*H12/60))</x:f>
        <x:v>6</x:v>
      </x:c>
      <x:c r="J12" s="5" t="n">
        <x:f>IF(K12&lt;&gt;"Ready","",IF(ISNUMBER(I12),SUM(D12:F12)+I12,""))</x:f>
        <x:v>6.1</x:v>
      </x:c>
      <x:c r="K12" s="1" t="str">
        <x:f>IF(COUNTA(A12:G12)=0,"",IF(OR(AND(A12&lt;&gt;"Manual",A12&lt;&gt;"AI"),B12="",C12="",COUNTIFS(Results!$A$7:$A$16,B12)&lt;&gt;1,COUNTIFS($A$7:$A$36,A12,$B$7:$B$36,B12,$C$7:$C$36,C12)&lt;&gt;1,COUNT(D12:G12)&lt;&gt;4,MIN(D12:G12)&lt;0),"Fix row","Ready"))</x:f>
        <x:v>Ready</x:v>
      </x:c>
    </x:row>
    <x:row r="13" ht="25" customHeight="1">
      <x:c r="A13" s="3" t="str">
        <x:v>AI</x:v>
      </x:c>
      <x:c r="B13" s="3" t="str">
        <x:v>record-3</x:v>
      </x:c>
      <x:c r="C13" s="3" t="str">
        <x:v>1</x:v>
      </x:c>
      <x:c r="D13" s="8" t="n">
        <x:v>0.1</x:v>
      </x:c>
      <x:c r="E13" s="8" t="n">
        <x:v>0</x:v>
      </x:c>
      <x:c r="F13" s="8" t="n">
        <x:v>0</x:v>
      </x:c>
      <x:c r="G13" s="3" t="n">
        <x:v>5</x:v>
      </x:c>
      <x:c r="H13" s="5" t="n">
        <x:f>IF(A13="Manual",Compare!$B$12,IF(A13="AI",Compare!$C$12,""))</x:f>
        <x:v>24</x:v>
      </x:c>
      <x:c r="I13" s="5" t="n">
        <x:f>IF(K13&lt;&gt;"Ready","",IF(OR(NOT(ISNUMBER(H13)),H13&lt;0),"",G13*H13/60))</x:f>
        <x:v>2</x:v>
      </x:c>
      <x:c r="J13" s="5" t="n">
        <x:f>IF(K13&lt;&gt;"Ready","",IF(ISNUMBER(I13),SUM(D13:F13)+I13,""))</x:f>
        <x:v>2.1</x:v>
      </x:c>
      <x:c r="K13" s="1" t="str">
        <x:f>IF(COUNTA(A13:G13)=0,"",IF(OR(AND(A13&lt;&gt;"Manual",A13&lt;&gt;"AI"),B13="",C13="",COUNTIFS(Results!$A$7:$A$16,B13)&lt;&gt;1,COUNTIFS($A$7:$A$36,A13,$B$7:$B$36,B13,$C$7:$C$36,C13)&lt;&gt;1,COUNT(D13:G13)&lt;&gt;4,MIN(D13:G13)&lt;0),"Fix row","Ready"))</x:f>
        <x:v>Ready</x:v>
      </x:c>
    </x:row>
    <x:row r="14" ht="25" customHeight="1">
      <x:c r="A14" s="3"/>
      <x:c r="B14" s="3"/>
      <x:c r="C14" s="3"/>
      <x:c r="D14" s="8"/>
      <x:c r="E14" s="8"/>
      <x:c r="F14" s="8"/>
      <x:c r="G14" s="3"/>
      <x:c r="H14" s="5" t="str">
        <x:f>IF(A14="Manual",Compare!$B$12,IF(A14="AI",Compare!$C$12,""))</x:f>
      </x:c>
      <x:c r="I14" s="5" t="str">
        <x:f>IF(K14&lt;&gt;"Ready","",IF(OR(NOT(ISNUMBER(H14)),H14&lt;0),"",G14*H14/60))</x:f>
      </x:c>
      <x:c r="J14" s="5" t="str">
        <x:f>IF(K14&lt;&gt;"Ready","",IF(ISNUMBER(I14),SUM(D14:F14)+I14,""))</x:f>
      </x:c>
      <x:c r="K14" s="1" t="str">
        <x:f>IF(COUNTA(A14:G14)=0,"",IF(OR(AND(A14&lt;&gt;"Manual",A14&lt;&gt;"AI"),B14="",C14="",COUNTIFS(Results!$A$7:$A$16,B14)&lt;&gt;1,COUNTIFS($A$7:$A$36,A14,$B$7:$B$36,B14,$C$7:$C$36,C14)&lt;&gt;1,COUNT(D14:G14)&lt;&gt;4,MIN(D14:G14)&lt;0),"Fix row","Ready"))</x:f>
      </x:c>
    </x:row>
    <x:row r="15" ht="25" customHeight="1">
      <x:c r="A15" s="3"/>
      <x:c r="B15" s="3"/>
      <x:c r="C15" s="3"/>
      <x:c r="D15" s="8"/>
      <x:c r="E15" s="8"/>
      <x:c r="F15" s="8"/>
      <x:c r="G15" s="3"/>
      <x:c r="H15" s="5" t="str">
        <x:f>IF(A15="Manual",Compare!$B$12,IF(A15="AI",Compare!$C$12,""))</x:f>
      </x:c>
      <x:c r="I15" s="5" t="str">
        <x:f>IF(K15&lt;&gt;"Ready","",IF(OR(NOT(ISNUMBER(H15)),H15&lt;0),"",G15*H15/60))</x:f>
      </x:c>
      <x:c r="J15" s="5" t="str">
        <x:f>IF(K15&lt;&gt;"Ready","",IF(ISNUMBER(I15),SUM(D15:F15)+I15,""))</x:f>
      </x:c>
      <x:c r="K15" s="1" t="str">
        <x:f>IF(COUNTA(A15:G15)=0,"",IF(OR(AND(A15&lt;&gt;"Manual",A15&lt;&gt;"AI"),B15="",C15="",COUNTIFS(Results!$A$7:$A$16,B15)&lt;&gt;1,COUNTIFS($A$7:$A$36,A15,$B$7:$B$36,B15,$C$7:$C$36,C15)&lt;&gt;1,COUNT(D15:G15)&lt;&gt;4,MIN(D15:G15)&lt;0),"Fix row","Ready"))</x:f>
      </x:c>
    </x:row>
    <x:row r="16" ht="25" customHeight="1">
      <x:c r="A16" s="3"/>
      <x:c r="B16" s="3"/>
      <x:c r="C16" s="3"/>
      <x:c r="D16" s="8"/>
      <x:c r="E16" s="8"/>
      <x:c r="F16" s="8"/>
      <x:c r="G16" s="3"/>
      <x:c r="H16" s="5" t="str">
        <x:f>IF(A16="Manual",Compare!$B$12,IF(A16="AI",Compare!$C$12,""))</x:f>
      </x:c>
      <x:c r="I16" s="5" t="str">
        <x:f>IF(K16&lt;&gt;"Ready","",IF(OR(NOT(ISNUMBER(H16)),H16&lt;0),"",G16*H16/60))</x:f>
      </x:c>
      <x:c r="J16" s="5" t="str">
        <x:f>IF(K16&lt;&gt;"Ready","",IF(ISNUMBER(I16),SUM(D16:F16)+I16,""))</x:f>
      </x:c>
      <x:c r="K16" s="1" t="str">
        <x:f>IF(COUNTA(A16:G16)=0,"",IF(OR(AND(A16&lt;&gt;"Manual",A16&lt;&gt;"AI"),B16="",C16="",COUNTIFS(Results!$A$7:$A$16,B16)&lt;&gt;1,COUNTIFS($A$7:$A$36,A16,$B$7:$B$36,B16,$C$7:$C$36,C16)&lt;&gt;1,COUNT(D16:G16)&lt;&gt;4,MIN(D16:G16)&lt;0),"Fix row","Ready"))</x:f>
      </x:c>
    </x:row>
    <x:row r="17" ht="25" customHeight="1">
      <x:c r="A17" s="3"/>
      <x:c r="B17" s="3"/>
      <x:c r="C17" s="3"/>
      <x:c r="D17" s="8"/>
      <x:c r="E17" s="8"/>
      <x:c r="F17" s="8"/>
      <x:c r="G17" s="3"/>
      <x:c r="H17" s="5" t="str">
        <x:f>IF(A17="Manual",Compare!$B$12,IF(A17="AI",Compare!$C$12,""))</x:f>
      </x:c>
      <x:c r="I17" s="5" t="str">
        <x:f>IF(K17&lt;&gt;"Ready","",IF(OR(NOT(ISNUMBER(H17)),H17&lt;0),"",G17*H17/60))</x:f>
      </x:c>
      <x:c r="J17" s="5" t="str">
        <x:f>IF(K17&lt;&gt;"Ready","",IF(ISNUMBER(I17),SUM(D17:F17)+I17,""))</x:f>
      </x:c>
      <x:c r="K17" s="1" t="str">
        <x:f>IF(COUNTA(A17:G17)=0,"",IF(OR(AND(A17&lt;&gt;"Manual",A17&lt;&gt;"AI"),B17="",C17="",COUNTIFS(Results!$A$7:$A$16,B17)&lt;&gt;1,COUNTIFS($A$7:$A$36,A17,$B$7:$B$36,B17,$C$7:$C$36,C17)&lt;&gt;1,COUNT(D17:G17)&lt;&gt;4,MIN(D17:G17)&lt;0),"Fix row","Ready"))</x:f>
      </x:c>
    </x:row>
    <x:row r="18" ht="25" customHeight="1">
      <x:c r="A18" s="3"/>
      <x:c r="B18" s="3"/>
      <x:c r="C18" s="3"/>
      <x:c r="D18" s="8"/>
      <x:c r="E18" s="8"/>
      <x:c r="F18" s="8"/>
      <x:c r="G18" s="3"/>
      <x:c r="H18" s="5" t="str">
        <x:f>IF(A18="Manual",Compare!$B$12,IF(A18="AI",Compare!$C$12,""))</x:f>
      </x:c>
      <x:c r="I18" s="5" t="str">
        <x:f>IF(K18&lt;&gt;"Ready","",IF(OR(NOT(ISNUMBER(H18)),H18&lt;0),"",G18*H18/60))</x:f>
      </x:c>
      <x:c r="J18" s="5" t="str">
        <x:f>IF(K18&lt;&gt;"Ready","",IF(ISNUMBER(I18),SUM(D18:F18)+I18,""))</x:f>
      </x:c>
      <x:c r="K18" s="1" t="str">
        <x:f>IF(COUNTA(A18:G18)=0,"",IF(OR(AND(A18&lt;&gt;"Manual",A18&lt;&gt;"AI"),B18="",C18="",COUNTIFS(Results!$A$7:$A$16,B18)&lt;&gt;1,COUNTIFS($A$7:$A$36,A18,$B$7:$B$36,B18,$C$7:$C$36,C18)&lt;&gt;1,COUNT(D18:G18)&lt;&gt;4,MIN(D18:G18)&lt;0),"Fix row","Ready"))</x:f>
      </x:c>
    </x:row>
    <x:row r="19" ht="25" customHeight="1">
      <x:c r="A19" s="3"/>
      <x:c r="B19" s="3"/>
      <x:c r="C19" s="3"/>
      <x:c r="D19" s="8"/>
      <x:c r="E19" s="8"/>
      <x:c r="F19" s="8"/>
      <x:c r="G19" s="3"/>
      <x:c r="H19" s="5" t="str">
        <x:f>IF(A19="Manual",Compare!$B$12,IF(A19="AI",Compare!$C$12,""))</x:f>
      </x:c>
      <x:c r="I19" s="5" t="str">
        <x:f>IF(K19&lt;&gt;"Ready","",IF(OR(NOT(ISNUMBER(H19)),H19&lt;0),"",G19*H19/60))</x:f>
      </x:c>
      <x:c r="J19" s="5" t="str">
        <x:f>IF(K19&lt;&gt;"Ready","",IF(ISNUMBER(I19),SUM(D19:F19)+I19,""))</x:f>
      </x:c>
      <x:c r="K19" s="1" t="str">
        <x:f>IF(COUNTA(A19:G19)=0,"",IF(OR(AND(A19&lt;&gt;"Manual",A19&lt;&gt;"AI"),B19="",C19="",COUNTIFS(Results!$A$7:$A$16,B19)&lt;&gt;1,COUNTIFS($A$7:$A$36,A19,$B$7:$B$36,B19,$C$7:$C$36,C19)&lt;&gt;1,COUNT(D19:G19)&lt;&gt;4,MIN(D19:G19)&lt;0),"Fix row","Ready"))</x:f>
      </x:c>
    </x:row>
    <x:row r="20" ht="25" customHeight="1">
      <x:c r="A20" s="3"/>
      <x:c r="B20" s="3"/>
      <x:c r="C20" s="3"/>
      <x:c r="D20" s="8"/>
      <x:c r="E20" s="8"/>
      <x:c r="F20" s="8"/>
      <x:c r="G20" s="3"/>
      <x:c r="H20" s="5" t="str">
        <x:f>IF(A20="Manual",Compare!$B$12,IF(A20="AI",Compare!$C$12,""))</x:f>
      </x:c>
      <x:c r="I20" s="5" t="str">
        <x:f>IF(K20&lt;&gt;"Ready","",IF(OR(NOT(ISNUMBER(H20)),H20&lt;0),"",G20*H20/60))</x:f>
      </x:c>
      <x:c r="J20" s="5" t="str">
        <x:f>IF(K20&lt;&gt;"Ready","",IF(ISNUMBER(I20),SUM(D20:F20)+I20,""))</x:f>
      </x:c>
      <x:c r="K20" s="1" t="str">
        <x:f>IF(COUNTA(A20:G20)=0,"",IF(OR(AND(A20&lt;&gt;"Manual",A20&lt;&gt;"AI"),B20="",C20="",COUNTIFS(Results!$A$7:$A$16,B20)&lt;&gt;1,COUNTIFS($A$7:$A$36,A20,$B$7:$B$36,B20,$C$7:$C$36,C20)&lt;&gt;1,COUNT(D20:G20)&lt;&gt;4,MIN(D20:G20)&lt;0),"Fix row","Ready"))</x:f>
      </x:c>
    </x:row>
    <x:row r="21" ht="25" customHeight="1">
      <x:c r="A21" s="3"/>
      <x:c r="B21" s="3"/>
      <x:c r="C21" s="3"/>
      <x:c r="D21" s="8"/>
      <x:c r="E21" s="8"/>
      <x:c r="F21" s="8"/>
      <x:c r="G21" s="3"/>
      <x:c r="H21" s="5" t="str">
        <x:f>IF(A21="Manual",Compare!$B$12,IF(A21="AI",Compare!$C$12,""))</x:f>
      </x:c>
      <x:c r="I21" s="5" t="str">
        <x:f>IF(K21&lt;&gt;"Ready","",IF(OR(NOT(ISNUMBER(H21)),H21&lt;0),"",G21*H21/60))</x:f>
      </x:c>
      <x:c r="J21" s="5" t="str">
        <x:f>IF(K21&lt;&gt;"Ready","",IF(ISNUMBER(I21),SUM(D21:F21)+I21,""))</x:f>
      </x:c>
      <x:c r="K21" s="1" t="str">
        <x:f>IF(COUNTA(A21:G21)=0,"",IF(OR(AND(A21&lt;&gt;"Manual",A21&lt;&gt;"AI"),B21="",C21="",COUNTIFS(Results!$A$7:$A$16,B21)&lt;&gt;1,COUNTIFS($A$7:$A$36,A21,$B$7:$B$36,B21,$C$7:$C$36,C21)&lt;&gt;1,COUNT(D21:G21)&lt;&gt;4,MIN(D21:G21)&lt;0),"Fix row","Ready"))</x:f>
      </x:c>
    </x:row>
    <x:row r="22" ht="25" customHeight="1">
      <x:c r="A22" s="3"/>
      <x:c r="B22" s="3"/>
      <x:c r="C22" s="3"/>
      <x:c r="D22" s="8"/>
      <x:c r="E22" s="8"/>
      <x:c r="F22" s="8"/>
      <x:c r="G22" s="3"/>
      <x:c r="H22" s="5" t="str">
        <x:f>IF(A22="Manual",Compare!$B$12,IF(A22="AI",Compare!$C$12,""))</x:f>
      </x:c>
      <x:c r="I22" s="5" t="str">
        <x:f>IF(K22&lt;&gt;"Ready","",IF(OR(NOT(ISNUMBER(H22)),H22&lt;0),"",G22*H22/60))</x:f>
      </x:c>
      <x:c r="J22" s="5" t="str">
        <x:f>IF(K22&lt;&gt;"Ready","",IF(ISNUMBER(I22),SUM(D22:F22)+I22,""))</x:f>
      </x:c>
      <x:c r="K22" s="1" t="str">
        <x:f>IF(COUNTA(A22:G22)=0,"",IF(OR(AND(A22&lt;&gt;"Manual",A22&lt;&gt;"AI"),B22="",C22="",COUNTIFS(Results!$A$7:$A$16,B22)&lt;&gt;1,COUNTIFS($A$7:$A$36,A22,$B$7:$B$36,B22,$C$7:$C$36,C22)&lt;&gt;1,COUNT(D22:G22)&lt;&gt;4,MIN(D22:G22)&lt;0),"Fix row","Ready"))</x:f>
      </x:c>
    </x:row>
    <x:row r="23" ht="25" customHeight="1">
      <x:c r="A23" s="3"/>
      <x:c r="B23" s="3"/>
      <x:c r="C23" s="3"/>
      <x:c r="D23" s="8"/>
      <x:c r="E23" s="8"/>
      <x:c r="F23" s="8"/>
      <x:c r="G23" s="3"/>
      <x:c r="H23" s="5" t="str">
        <x:f>IF(A23="Manual",Compare!$B$12,IF(A23="AI",Compare!$C$12,""))</x:f>
      </x:c>
      <x:c r="I23" s="5" t="str">
        <x:f>IF(K23&lt;&gt;"Ready","",IF(OR(NOT(ISNUMBER(H23)),H23&lt;0),"",G23*H23/60))</x:f>
      </x:c>
      <x:c r="J23" s="5" t="str">
        <x:f>IF(K23&lt;&gt;"Ready","",IF(ISNUMBER(I23),SUM(D23:F23)+I23,""))</x:f>
      </x:c>
      <x:c r="K23" s="1" t="str">
        <x:f>IF(COUNTA(A23:G23)=0,"",IF(OR(AND(A23&lt;&gt;"Manual",A23&lt;&gt;"AI"),B23="",C23="",COUNTIFS(Results!$A$7:$A$16,B23)&lt;&gt;1,COUNTIFS($A$7:$A$36,A23,$B$7:$B$36,B23,$C$7:$C$36,C23)&lt;&gt;1,COUNT(D23:G23)&lt;&gt;4,MIN(D23:G23)&lt;0),"Fix row","Ready"))</x:f>
      </x:c>
    </x:row>
    <x:row r="24" ht="25" customHeight="1">
      <x:c r="A24" s="3"/>
      <x:c r="B24" s="3"/>
      <x:c r="C24" s="3"/>
      <x:c r="D24" s="8"/>
      <x:c r="E24" s="8"/>
      <x:c r="F24" s="8"/>
      <x:c r="G24" s="3"/>
      <x:c r="H24" s="5" t="str">
        <x:f>IF(A24="Manual",Compare!$B$12,IF(A24="AI",Compare!$C$12,""))</x:f>
      </x:c>
      <x:c r="I24" s="5" t="str">
        <x:f>IF(K24&lt;&gt;"Ready","",IF(OR(NOT(ISNUMBER(H24)),H24&lt;0),"",G24*H24/60))</x:f>
      </x:c>
      <x:c r="J24" s="5" t="str">
        <x:f>IF(K24&lt;&gt;"Ready","",IF(ISNUMBER(I24),SUM(D24:F24)+I24,""))</x:f>
      </x:c>
      <x:c r="K24" s="1" t="str">
        <x:f>IF(COUNTA(A24:G24)=0,"",IF(OR(AND(A24&lt;&gt;"Manual",A24&lt;&gt;"AI"),B24="",C24="",COUNTIFS(Results!$A$7:$A$16,B24)&lt;&gt;1,COUNTIFS($A$7:$A$36,A24,$B$7:$B$36,B24,$C$7:$C$36,C24)&lt;&gt;1,COUNT(D24:G24)&lt;&gt;4,MIN(D24:G24)&lt;0),"Fix row","Ready"))</x:f>
      </x:c>
    </x:row>
    <x:row r="25" ht="25" customHeight="1">
      <x:c r="A25" s="3"/>
      <x:c r="B25" s="3"/>
      <x:c r="C25" s="3"/>
      <x:c r="D25" s="8"/>
      <x:c r="E25" s="8"/>
      <x:c r="F25" s="8"/>
      <x:c r="G25" s="3"/>
      <x:c r="H25" s="5" t="str">
        <x:f>IF(A25="Manual",Compare!$B$12,IF(A25="AI",Compare!$C$12,""))</x:f>
      </x:c>
      <x:c r="I25" s="5" t="str">
        <x:f>IF(K25&lt;&gt;"Ready","",IF(OR(NOT(ISNUMBER(H25)),H25&lt;0),"",G25*H25/60))</x:f>
      </x:c>
      <x:c r="J25" s="5" t="str">
        <x:f>IF(K25&lt;&gt;"Ready","",IF(ISNUMBER(I25),SUM(D25:F25)+I25,""))</x:f>
      </x:c>
      <x:c r="K25" s="1" t="str">
        <x:f>IF(COUNTA(A25:G25)=0,"",IF(OR(AND(A25&lt;&gt;"Manual",A25&lt;&gt;"AI"),B25="",C25="",COUNTIFS(Results!$A$7:$A$16,B25)&lt;&gt;1,COUNTIFS($A$7:$A$36,A25,$B$7:$B$36,B25,$C$7:$C$36,C25)&lt;&gt;1,COUNT(D25:G25)&lt;&gt;4,MIN(D25:G25)&lt;0),"Fix row","Ready"))</x:f>
      </x:c>
    </x:row>
    <x:row r="26" ht="25" customHeight="1">
      <x:c r="A26" s="3"/>
      <x:c r="B26" s="3"/>
      <x:c r="C26" s="3"/>
      <x:c r="D26" s="8"/>
      <x:c r="E26" s="8"/>
      <x:c r="F26" s="8"/>
      <x:c r="G26" s="3"/>
      <x:c r="H26" s="5" t="str">
        <x:f>IF(A26="Manual",Compare!$B$12,IF(A26="AI",Compare!$C$12,""))</x:f>
      </x:c>
      <x:c r="I26" s="5" t="str">
        <x:f>IF(K26&lt;&gt;"Ready","",IF(OR(NOT(ISNUMBER(H26)),H26&lt;0),"",G26*H26/60))</x:f>
      </x:c>
      <x:c r="J26" s="5" t="str">
        <x:f>IF(K26&lt;&gt;"Ready","",IF(ISNUMBER(I26),SUM(D26:F26)+I26,""))</x:f>
      </x:c>
      <x:c r="K26" s="1" t="str">
        <x:f>IF(COUNTA(A26:G26)=0,"",IF(OR(AND(A26&lt;&gt;"Manual",A26&lt;&gt;"AI"),B26="",C26="",COUNTIFS(Results!$A$7:$A$16,B26)&lt;&gt;1,COUNTIFS($A$7:$A$36,A26,$B$7:$B$36,B26,$C$7:$C$36,C26)&lt;&gt;1,COUNT(D26:G26)&lt;&gt;4,MIN(D26:G26)&lt;0),"Fix row","Ready"))</x:f>
      </x:c>
    </x:row>
    <x:row r="27" ht="25" customHeight="1">
      <x:c r="A27" s="3"/>
      <x:c r="B27" s="3"/>
      <x:c r="C27" s="3"/>
      <x:c r="D27" s="8"/>
      <x:c r="E27" s="8"/>
      <x:c r="F27" s="8"/>
      <x:c r="G27" s="3"/>
      <x:c r="H27" s="5" t="str">
        <x:f>IF(A27="Manual",Compare!$B$12,IF(A27="AI",Compare!$C$12,""))</x:f>
      </x:c>
      <x:c r="I27" s="5" t="str">
        <x:f>IF(K27&lt;&gt;"Ready","",IF(OR(NOT(ISNUMBER(H27)),H27&lt;0),"",G27*H27/60))</x:f>
      </x:c>
      <x:c r="J27" s="5" t="str">
        <x:f>IF(K27&lt;&gt;"Ready","",IF(ISNUMBER(I27),SUM(D27:F27)+I27,""))</x:f>
      </x:c>
      <x:c r="K27" s="1" t="str">
        <x:f>IF(COUNTA(A27:G27)=0,"",IF(OR(AND(A27&lt;&gt;"Manual",A27&lt;&gt;"AI"),B27="",C27="",COUNTIFS(Results!$A$7:$A$16,B27)&lt;&gt;1,COUNTIFS($A$7:$A$36,A27,$B$7:$B$36,B27,$C$7:$C$36,C27)&lt;&gt;1,COUNT(D27:G27)&lt;&gt;4,MIN(D27:G27)&lt;0),"Fix row","Ready"))</x:f>
      </x:c>
    </x:row>
    <x:row r="28" ht="25" customHeight="1">
      <x:c r="A28" s="3"/>
      <x:c r="B28" s="3"/>
      <x:c r="C28" s="3"/>
      <x:c r="D28" s="8"/>
      <x:c r="E28" s="8"/>
      <x:c r="F28" s="8"/>
      <x:c r="G28" s="3"/>
      <x:c r="H28" s="5" t="str">
        <x:f>IF(A28="Manual",Compare!$B$12,IF(A28="AI",Compare!$C$12,""))</x:f>
      </x:c>
      <x:c r="I28" s="5" t="str">
        <x:f>IF(K28&lt;&gt;"Ready","",IF(OR(NOT(ISNUMBER(H28)),H28&lt;0),"",G28*H28/60))</x:f>
      </x:c>
      <x:c r="J28" s="5" t="str">
        <x:f>IF(K28&lt;&gt;"Ready","",IF(ISNUMBER(I28),SUM(D28:F28)+I28,""))</x:f>
      </x:c>
      <x:c r="K28" s="1" t="str">
        <x:f>IF(COUNTA(A28:G28)=0,"",IF(OR(AND(A28&lt;&gt;"Manual",A28&lt;&gt;"AI"),B28="",C28="",COUNTIFS(Results!$A$7:$A$16,B28)&lt;&gt;1,COUNTIFS($A$7:$A$36,A28,$B$7:$B$36,B28,$C$7:$C$36,C28)&lt;&gt;1,COUNT(D28:G28)&lt;&gt;4,MIN(D28:G28)&lt;0),"Fix row","Ready"))</x:f>
      </x:c>
    </x:row>
    <x:row r="29" ht="25" customHeight="1">
      <x:c r="A29" s="3"/>
      <x:c r="B29" s="3"/>
      <x:c r="C29" s="3"/>
      <x:c r="D29" s="8"/>
      <x:c r="E29" s="8"/>
      <x:c r="F29" s="8"/>
      <x:c r="G29" s="3"/>
      <x:c r="H29" s="5" t="str">
        <x:f>IF(A29="Manual",Compare!$B$12,IF(A29="AI",Compare!$C$12,""))</x:f>
      </x:c>
      <x:c r="I29" s="5" t="str">
        <x:f>IF(K29&lt;&gt;"Ready","",IF(OR(NOT(ISNUMBER(H29)),H29&lt;0),"",G29*H29/60))</x:f>
      </x:c>
      <x:c r="J29" s="5" t="str">
        <x:f>IF(K29&lt;&gt;"Ready","",IF(ISNUMBER(I29),SUM(D29:F29)+I29,""))</x:f>
      </x:c>
      <x:c r="K29" s="1" t="str">
        <x:f>IF(COUNTA(A29:G29)=0,"",IF(OR(AND(A29&lt;&gt;"Manual",A29&lt;&gt;"AI"),B29="",C29="",COUNTIFS(Results!$A$7:$A$16,B29)&lt;&gt;1,COUNTIFS($A$7:$A$36,A29,$B$7:$B$36,B29,$C$7:$C$36,C29)&lt;&gt;1,COUNT(D29:G29)&lt;&gt;4,MIN(D29:G29)&lt;0),"Fix row","Ready"))</x:f>
      </x:c>
    </x:row>
    <x:row r="30" ht="25" customHeight="1">
      <x:c r="A30" s="3"/>
      <x:c r="B30" s="3"/>
      <x:c r="C30" s="3"/>
      <x:c r="D30" s="8"/>
      <x:c r="E30" s="8"/>
      <x:c r="F30" s="8"/>
      <x:c r="G30" s="3"/>
      <x:c r="H30" s="5" t="str">
        <x:f>IF(A30="Manual",Compare!$B$12,IF(A30="AI",Compare!$C$12,""))</x:f>
      </x:c>
      <x:c r="I30" s="5" t="str">
        <x:f>IF(K30&lt;&gt;"Ready","",IF(OR(NOT(ISNUMBER(H30)),H30&lt;0),"",G30*H30/60))</x:f>
      </x:c>
      <x:c r="J30" s="5" t="str">
        <x:f>IF(K30&lt;&gt;"Ready","",IF(ISNUMBER(I30),SUM(D30:F30)+I30,""))</x:f>
      </x:c>
      <x:c r="K30" s="1" t="str">
        <x:f>IF(COUNTA(A30:G30)=0,"",IF(OR(AND(A30&lt;&gt;"Manual",A30&lt;&gt;"AI"),B30="",C30="",COUNTIFS(Results!$A$7:$A$16,B30)&lt;&gt;1,COUNTIFS($A$7:$A$36,A30,$B$7:$B$36,B30,$C$7:$C$36,C30)&lt;&gt;1,COUNT(D30:G30)&lt;&gt;4,MIN(D30:G30)&lt;0),"Fix row","Ready"))</x:f>
      </x:c>
    </x:row>
    <x:row r="31" ht="25" customHeight="1">
      <x:c r="A31" s="3"/>
      <x:c r="B31" s="3"/>
      <x:c r="C31" s="3"/>
      <x:c r="D31" s="8"/>
      <x:c r="E31" s="8"/>
      <x:c r="F31" s="8"/>
      <x:c r="G31" s="3"/>
      <x:c r="H31" s="5" t="str">
        <x:f>IF(A31="Manual",Compare!$B$12,IF(A31="AI",Compare!$C$12,""))</x:f>
      </x:c>
      <x:c r="I31" s="5" t="str">
        <x:f>IF(K31&lt;&gt;"Ready","",IF(OR(NOT(ISNUMBER(H31)),H31&lt;0),"",G31*H31/60))</x:f>
      </x:c>
      <x:c r="J31" s="5" t="str">
        <x:f>IF(K31&lt;&gt;"Ready","",IF(ISNUMBER(I31),SUM(D31:F31)+I31,""))</x:f>
      </x:c>
      <x:c r="K31" s="1" t="str">
        <x:f>IF(COUNTA(A31:G31)=0,"",IF(OR(AND(A31&lt;&gt;"Manual",A31&lt;&gt;"AI"),B31="",C31="",COUNTIFS(Results!$A$7:$A$16,B31)&lt;&gt;1,COUNTIFS($A$7:$A$36,A31,$B$7:$B$36,B31,$C$7:$C$36,C31)&lt;&gt;1,COUNT(D31:G31)&lt;&gt;4,MIN(D31:G31)&lt;0),"Fix row","Ready"))</x:f>
      </x:c>
    </x:row>
    <x:row r="32" ht="25" customHeight="1">
      <x:c r="A32" s="3"/>
      <x:c r="B32" s="3"/>
      <x:c r="C32" s="3"/>
      <x:c r="D32" s="8"/>
      <x:c r="E32" s="8"/>
      <x:c r="F32" s="8"/>
      <x:c r="G32" s="3"/>
      <x:c r="H32" s="5" t="str">
        <x:f>IF(A32="Manual",Compare!$B$12,IF(A32="AI",Compare!$C$12,""))</x:f>
      </x:c>
      <x:c r="I32" s="5" t="str">
        <x:f>IF(K32&lt;&gt;"Ready","",IF(OR(NOT(ISNUMBER(H32)),H32&lt;0),"",G32*H32/60))</x:f>
      </x:c>
      <x:c r="J32" s="5" t="str">
        <x:f>IF(K32&lt;&gt;"Ready","",IF(ISNUMBER(I32),SUM(D32:F32)+I32,""))</x:f>
      </x:c>
      <x:c r="K32" s="1" t="str">
        <x:f>IF(COUNTA(A32:G32)=0,"",IF(OR(AND(A32&lt;&gt;"Manual",A32&lt;&gt;"AI"),B32="",C32="",COUNTIFS(Results!$A$7:$A$16,B32)&lt;&gt;1,COUNTIFS($A$7:$A$36,A32,$B$7:$B$36,B32,$C$7:$C$36,C32)&lt;&gt;1,COUNT(D32:G32)&lt;&gt;4,MIN(D32:G32)&lt;0),"Fix row","Ready"))</x:f>
      </x:c>
    </x:row>
    <x:row r="33" ht="25" customHeight="1">
      <x:c r="A33" s="3"/>
      <x:c r="B33" s="3"/>
      <x:c r="C33" s="3"/>
      <x:c r="D33" s="8"/>
      <x:c r="E33" s="8"/>
      <x:c r="F33" s="8"/>
      <x:c r="G33" s="3"/>
      <x:c r="H33" s="5" t="str">
        <x:f>IF(A33="Manual",Compare!$B$12,IF(A33="AI",Compare!$C$12,""))</x:f>
      </x:c>
      <x:c r="I33" s="5" t="str">
        <x:f>IF(K33&lt;&gt;"Ready","",IF(OR(NOT(ISNUMBER(H33)),H33&lt;0),"",G33*H33/60))</x:f>
      </x:c>
      <x:c r="J33" s="5" t="str">
        <x:f>IF(K33&lt;&gt;"Ready","",IF(ISNUMBER(I33),SUM(D33:F33)+I33,""))</x:f>
      </x:c>
      <x:c r="K33" s="1" t="str">
        <x:f>IF(COUNTA(A33:G33)=0,"",IF(OR(AND(A33&lt;&gt;"Manual",A33&lt;&gt;"AI"),B33="",C33="",COUNTIFS(Results!$A$7:$A$16,B33)&lt;&gt;1,COUNTIFS($A$7:$A$36,A33,$B$7:$B$36,B33,$C$7:$C$36,C33)&lt;&gt;1,COUNT(D33:G33)&lt;&gt;4,MIN(D33:G33)&lt;0),"Fix row","Ready"))</x:f>
      </x:c>
    </x:row>
    <x:row r="34" ht="25" customHeight="1">
      <x:c r="A34" s="3"/>
      <x:c r="B34" s="3"/>
      <x:c r="C34" s="3"/>
      <x:c r="D34" s="8"/>
      <x:c r="E34" s="8"/>
      <x:c r="F34" s="8"/>
      <x:c r="G34" s="3"/>
      <x:c r="H34" s="5" t="str">
        <x:f>IF(A34="Manual",Compare!$B$12,IF(A34="AI",Compare!$C$12,""))</x:f>
      </x:c>
      <x:c r="I34" s="5" t="str">
        <x:f>IF(K34&lt;&gt;"Ready","",IF(OR(NOT(ISNUMBER(H34)),H34&lt;0),"",G34*H34/60))</x:f>
      </x:c>
      <x:c r="J34" s="5" t="str">
        <x:f>IF(K34&lt;&gt;"Ready","",IF(ISNUMBER(I34),SUM(D34:F34)+I34,""))</x:f>
      </x:c>
      <x:c r="K34" s="1" t="str">
        <x:f>IF(COUNTA(A34:G34)=0,"",IF(OR(AND(A34&lt;&gt;"Manual",A34&lt;&gt;"AI"),B34="",C34="",COUNTIFS(Results!$A$7:$A$16,B34)&lt;&gt;1,COUNTIFS($A$7:$A$36,A34,$B$7:$B$36,B34,$C$7:$C$36,C34)&lt;&gt;1,COUNT(D34:G34)&lt;&gt;4,MIN(D34:G34)&lt;0),"Fix row","Ready"))</x:f>
      </x:c>
    </x:row>
    <x:row r="35" ht="25" customHeight="1">
      <x:c r="A35" s="3"/>
      <x:c r="B35" s="3"/>
      <x:c r="C35" s="3"/>
      <x:c r="D35" s="8"/>
      <x:c r="E35" s="8"/>
      <x:c r="F35" s="8"/>
      <x:c r="G35" s="3"/>
      <x:c r="H35" s="5" t="str">
        <x:f>IF(A35="Manual",Compare!$B$12,IF(A35="AI",Compare!$C$12,""))</x:f>
      </x:c>
      <x:c r="I35" s="5" t="str">
        <x:f>IF(K35&lt;&gt;"Ready","",IF(OR(NOT(ISNUMBER(H35)),H35&lt;0),"",G35*H35/60))</x:f>
      </x:c>
      <x:c r="J35" s="5" t="str">
        <x:f>IF(K35&lt;&gt;"Ready","",IF(ISNUMBER(I35),SUM(D35:F35)+I35,""))</x:f>
      </x:c>
      <x:c r="K35" s="1" t="str">
        <x:f>IF(COUNTA(A35:G35)=0,"",IF(OR(AND(A35&lt;&gt;"Manual",A35&lt;&gt;"AI"),B35="",C35="",COUNTIFS(Results!$A$7:$A$16,B35)&lt;&gt;1,COUNTIFS($A$7:$A$36,A35,$B$7:$B$36,B35,$C$7:$C$36,C35)&lt;&gt;1,COUNT(D35:G35)&lt;&gt;4,MIN(D35:G35)&lt;0),"Fix row","Ready"))</x:f>
      </x:c>
    </x:row>
    <x:row r="36" ht="25" customHeight="1">
      <x:c r="A36" s="3"/>
      <x:c r="B36" s="3"/>
      <x:c r="C36" s="3"/>
      <x:c r="D36" s="8"/>
      <x:c r="E36" s="8"/>
      <x:c r="F36" s="8"/>
      <x:c r="G36" s="3"/>
      <x:c r="H36" s="5" t="str">
        <x:f>IF(A36="Manual",Compare!$B$12,IF(A36="AI",Compare!$C$12,""))</x:f>
      </x:c>
      <x:c r="I36" s="5" t="str">
        <x:f>IF(K36&lt;&gt;"Ready","",IF(OR(NOT(ISNUMBER(H36)),H36&lt;0),"",G36*H36/60))</x:f>
      </x:c>
      <x:c r="J36" s="5" t="str">
        <x:f>IF(K36&lt;&gt;"Ready","",IF(ISNUMBER(I36),SUM(D36:F36)+I36,""))</x:f>
      </x:c>
      <x:c r="K36" s="1" t="str">
        <x:f>IF(COUNTA(A36:G36)=0,"",IF(OR(AND(A36&lt;&gt;"Manual",A36&lt;&gt;"AI"),B36="",C36="",COUNTIFS(Results!$A$7:$A$16,B36)&lt;&gt;1,COUNTIFS($A$7:$A$36,A36,$B$7:$B$36,B36,$C$7:$C$36,C36)&lt;&gt;1,COUNT(D36:G36)&lt;&gt;4,MIN(D36:G36)&lt;0),"Fix row","Ready"))</x:f>
      </x:c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conditionalFormatting sqref="K7:K36">
    <x:cfRule type="containsText" dxfId="2" priority="1" operator="containsText" text="Fix"/>
  </x:conditionalFormatting>
  <x:dataValidations count="1">
    <x:dataValidation type="list" sqref="A7:A36">
      <x:formula1>"Manual,AI"</x:formula1>
    </x:dataValidation>
  </x:dataValidations>
  <x:pageMargins left="0.7" right="0.7" top="0.75" bottom="0.75" header="0.3" footer="0.3"/>
</x:worksheet>
</file>